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2D5C9724-03E6-4A95-ACC4-663011E82D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F2" i="1"/>
  <c r="F7" i="1"/>
  <c r="G7" i="1" s="1"/>
  <c r="F6" i="1"/>
  <c r="G6" i="1" s="1"/>
  <c r="F5" i="1"/>
  <c r="G5" i="1" s="1"/>
  <c r="F4" i="1"/>
  <c r="G4" i="1" s="1"/>
  <c r="F3" i="1"/>
  <c r="G3" i="1" s="1"/>
  <c r="G2" i="1"/>
  <c r="B12" i="1" s="1"/>
</calcChain>
</file>

<file path=xl/sharedStrings.xml><?xml version="1.0" encoding="utf-8"?>
<sst xmlns="http://schemas.openxmlformats.org/spreadsheetml/2006/main" count="27" uniqueCount="20">
  <si>
    <t>VENDOR NAME</t>
  </si>
  <si>
    <t>ASSESSMENT TYPE</t>
  </si>
  <si>
    <t>STATUS</t>
  </si>
  <si>
    <t>SOC 2 EXPIRY DATE</t>
  </si>
  <si>
    <t>ISO 27001 EXPIRY DATE</t>
  </si>
  <si>
    <t>DAYS UNTIL EXPIRY</t>
  </si>
  <si>
    <t>EVIDENCE ALERT</t>
  </si>
  <si>
    <t>VENDOE A</t>
  </si>
  <si>
    <t>SIG Lite</t>
  </si>
  <si>
    <t>Completed</t>
  </si>
  <si>
    <t>VENDOR B</t>
  </si>
  <si>
    <t xml:space="preserve">SOC 2 </t>
  </si>
  <si>
    <t>VENDOR C</t>
  </si>
  <si>
    <t>VENDOR D</t>
  </si>
  <si>
    <t>VENDOR E</t>
  </si>
  <si>
    <t>ISO 27001</t>
  </si>
  <si>
    <t>In Progress</t>
  </si>
  <si>
    <t>VENDOR F</t>
  </si>
  <si>
    <t>TOTAL VENDOR</t>
  </si>
  <si>
    <t>URGENT RENEWALS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</si>
</sst>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7" sqref="B7"/>
    </sheetView>
  </sheetViews>
  <sheetFormatPr defaultColWidth="23.42578125" defaultRowHeight="15"/>
  <cols>
    <col min="1" max="1" width="18.85546875" bestFit="1" customWidth="1"/>
    <col min="2" max="2" width="17.7109375" bestFit="1" customWidth="1"/>
    <col min="3" max="3" width="10.7109375" bestFit="1" customWidth="1"/>
    <col min="4" max="4" width="18.140625" bestFit="1" customWidth="1"/>
    <col min="5" max="5" width="21.85546875" bestFit="1" customWidth="1"/>
    <col min="6" max="6" width="18.140625" bestFit="1" customWidth="1"/>
    <col min="7" max="7" width="16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46356</v>
      </c>
      <c r="F2" s="2">
        <f ca="1">D2-TODAY()</f>
        <v>86</v>
      </c>
      <c r="G2" t="str">
        <f ca="1">IF(F2&lt;=30,"URGENT:RENEW","COMPLIANT")</f>
        <v>COMPLIANT</v>
      </c>
    </row>
    <row r="3" spans="1:7">
      <c r="A3" t="s">
        <v>10</v>
      </c>
      <c r="B3" t="s">
        <v>11</v>
      </c>
      <c r="C3" t="s">
        <v>9</v>
      </c>
      <c r="D3" s="1">
        <v>46310</v>
      </c>
      <c r="F3" s="2">
        <f ca="1">D3-TODAY()</f>
        <v>40</v>
      </c>
      <c r="G3" t="str">
        <f ca="1">IF(F3&lt;=30,"URGENT:RENEW","COMPLIANT")</f>
        <v>COMPLIANT</v>
      </c>
    </row>
    <row r="4" spans="1:7">
      <c r="A4" t="s">
        <v>12</v>
      </c>
      <c r="B4" t="s">
        <v>11</v>
      </c>
      <c r="C4" t="s">
        <v>9</v>
      </c>
      <c r="D4" s="1">
        <v>46300</v>
      </c>
      <c r="F4" s="2">
        <f ca="1">D4-TODAY()</f>
        <v>30</v>
      </c>
      <c r="G4" t="str">
        <f ca="1">IF(F4&lt;=30,"URGENT:RENEW","COMPLIANT")</f>
        <v>URGENT:RENEW</v>
      </c>
    </row>
    <row r="5" spans="1:7">
      <c r="A5" t="s">
        <v>13</v>
      </c>
      <c r="B5" t="s">
        <v>11</v>
      </c>
      <c r="C5" t="s">
        <v>9</v>
      </c>
      <c r="D5" s="1">
        <v>46387</v>
      </c>
      <c r="F5" s="2">
        <f ca="1">D5-TODAY()</f>
        <v>117</v>
      </c>
      <c r="G5" t="str">
        <f ca="1">IF(F5&lt;=30,"URGENT:RENEW","COMPLIANT")</f>
        <v>COMPLIANT</v>
      </c>
    </row>
    <row r="6" spans="1:7">
      <c r="A6" t="s">
        <v>14</v>
      </c>
      <c r="B6" t="s">
        <v>15</v>
      </c>
      <c r="C6" t="s">
        <v>16</v>
      </c>
      <c r="D6" s="1">
        <v>46285</v>
      </c>
      <c r="F6" s="2">
        <f ca="1">D6-TODAY()</f>
        <v>15</v>
      </c>
      <c r="G6" t="str">
        <f ca="1">IF(F6&lt;=30,"URGENT:RENEW","COMPLIANT")</f>
        <v>URGENT:RENEW</v>
      </c>
    </row>
    <row r="7" spans="1:7">
      <c r="A7" t="s">
        <v>17</v>
      </c>
      <c r="B7" t="s">
        <v>15</v>
      </c>
      <c r="C7" t="s">
        <v>16</v>
      </c>
      <c r="D7" s="1">
        <v>46249</v>
      </c>
      <c r="F7" s="2">
        <f ca="1">D7-TODAY()</f>
        <v>-21</v>
      </c>
      <c r="G7" t="str">
        <f ca="1">IF(F7&lt;=30,"URGENT:RENEW","COMPLIANT")</f>
        <v>URGENT:RENEW</v>
      </c>
    </row>
    <row r="11" spans="1:7">
      <c r="A11" t="s">
        <v>18</v>
      </c>
      <c r="B11">
        <f>COUNTA(A2:A7)</f>
        <v>6</v>
      </c>
    </row>
    <row r="12" spans="1:7">
      <c r="A12" t="s">
        <v>19</v>
      </c>
      <c r="B12">
        <f ca="1">COUNTIF(G2:G7,"URGENT:RENEW")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2026-09-05T13:45:50Z</dcterms:created>
  <dcterms:modified xsi:type="dcterms:W3CDTF">2026-09-05T17:12:19Z</dcterms:modified>
  <cp:category/>
  <cp:contentStatus/>
</cp:coreProperties>
</file>